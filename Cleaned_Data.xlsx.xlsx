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</sheets>
  <definedNames>
    <definedName hidden="1" localSheetId="4" name="_xlnm._FilterDatabase">'Q5'!$A$1:$A$1000</definedName>
  </definedNames>
  <calcPr/>
</workbook>
</file>

<file path=xl/sharedStrings.xml><?xml version="1.0" encoding="utf-8"?>
<sst xmlns="http://schemas.openxmlformats.org/spreadsheetml/2006/main" count="272" uniqueCount="147">
  <si>
    <t>Data</t>
  </si>
  <si>
    <t>Task Detail</t>
  </si>
  <si>
    <t>Output</t>
  </si>
  <si>
    <t>Mohit Kumar Rastogi</t>
  </si>
  <si>
    <t>Find the Length of A2 Cell</t>
  </si>
  <si>
    <t xml:space="preserve">Anil        </t>
  </si>
  <si>
    <t>Find th Length of A3 Cell it should be logical</t>
  </si>
  <si>
    <t>Find the Day Name of A4 Cell</t>
  </si>
  <si>
    <t>Find the Year of A5 Cell</t>
  </si>
  <si>
    <t>Pick the Kumar from A6 Cell</t>
  </si>
  <si>
    <t>Remove the Kumar from the A7 Cell</t>
  </si>
  <si>
    <t>Pick Surname from A8 Cell</t>
  </si>
  <si>
    <t>Mohit Kumar</t>
  </si>
  <si>
    <t>Pick Surname from A9 Cell</t>
  </si>
  <si>
    <t xml:space="preserve"> Find out top 3 paid employees with name</t>
  </si>
  <si>
    <t>Employee Name</t>
  </si>
  <si>
    <t>Salary</t>
  </si>
  <si>
    <t>Sachin Kumar Sharma</t>
  </si>
  <si>
    <t>Mohit Malik</t>
  </si>
  <si>
    <t>Deepak Sharma</t>
  </si>
  <si>
    <t>Kratika Bhatnagar</t>
  </si>
  <si>
    <t>Gaurav Khanna</t>
  </si>
  <si>
    <t>Asif Khan</t>
  </si>
  <si>
    <t>Ajaj Kumar Rana</t>
  </si>
  <si>
    <t>Aakash Bhutani</t>
  </si>
  <si>
    <t>Vivek Pant</t>
  </si>
  <si>
    <t>Pallavi Srivastava</t>
  </si>
  <si>
    <t>Anoop Kumar Singh</t>
  </si>
  <si>
    <t>Shivam Kumar Gupta</t>
  </si>
  <si>
    <t>Akhil Gupta</t>
  </si>
  <si>
    <t>Niranjan Singh Jagde</t>
  </si>
  <si>
    <t>Amit Rana</t>
  </si>
  <si>
    <t>Suraj Sharma</t>
  </si>
  <si>
    <t>Iftekhar Naiyar</t>
  </si>
  <si>
    <t>Rahul Aggarwal</t>
  </si>
  <si>
    <t>Pradeep Sharma</t>
  </si>
  <si>
    <t>Rajpal Singh Vagar</t>
  </si>
  <si>
    <t>Sonam Singh</t>
  </si>
  <si>
    <t>KM Roli Yadav</t>
  </si>
  <si>
    <t>Amandeep Singh</t>
  </si>
  <si>
    <t>Sunanda Khosa</t>
  </si>
  <si>
    <t>Richa Krishnatri</t>
  </si>
  <si>
    <t>Ullas Pant</t>
  </si>
  <si>
    <t>Arvind Panday</t>
  </si>
  <si>
    <t>Tasleem Yawar</t>
  </si>
  <si>
    <t>Sanjeet Upadhyay</t>
  </si>
  <si>
    <t>Vinay Lakhmani</t>
  </si>
  <si>
    <t>Isha Gupta</t>
  </si>
  <si>
    <t>Chhavi Tiwari</t>
  </si>
  <si>
    <t>Nitin Kansal</t>
  </si>
  <si>
    <t>Rachna Sharma</t>
  </si>
  <si>
    <t>Vineeta Keshari</t>
  </si>
  <si>
    <t>HemKrishan Bora</t>
  </si>
  <si>
    <t>Amit Kumar Verma</t>
  </si>
  <si>
    <t>Karan Tickoo</t>
  </si>
  <si>
    <t>Pawan Kr Saini</t>
  </si>
  <si>
    <t>Udit Kr Kochhar</t>
  </si>
  <si>
    <t>Jyoti Srivastva</t>
  </si>
  <si>
    <t>Kakul Gupta</t>
  </si>
  <si>
    <t>Sunil Dutt</t>
  </si>
  <si>
    <t>Ravi Kumar</t>
  </si>
  <si>
    <t>Sanjeev Saran</t>
  </si>
  <si>
    <t>Jalal Khan</t>
  </si>
  <si>
    <t>Shakti Sharma</t>
  </si>
  <si>
    <t>Lekha Chaturvedi</t>
  </si>
  <si>
    <t>Durgesh Mishra</t>
  </si>
  <si>
    <t>Kashif Ahmed</t>
  </si>
  <si>
    <t>Sayed Yawer Abbas</t>
  </si>
  <si>
    <t>Ravi Jayant</t>
  </si>
  <si>
    <t>Vikas Verma</t>
  </si>
  <si>
    <t>Raubika Pal</t>
  </si>
  <si>
    <t>Shah Alam</t>
  </si>
  <si>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</si>
  <si>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</si>
  <si>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</si>
  <si>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</si>
  <si>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</si>
  <si>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</si>
  <si>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</si>
  <si>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</si>
  <si>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</si>
  <si>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</si>
  <si>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</si>
  <si>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</si>
  <si>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</si>
  <si>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</si>
  <si>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</si>
  <si>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</si>
  <si>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</si>
  <si>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</si>
  <si>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</si>
  <si>
    <t>Names</t>
  </si>
  <si>
    <t>Subject</t>
  </si>
  <si>
    <t>Grand Total</t>
  </si>
  <si>
    <t>Marks Scored</t>
  </si>
  <si>
    <t>Abhijit</t>
  </si>
  <si>
    <t>Maths</t>
  </si>
  <si>
    <t>Questions</t>
  </si>
  <si>
    <t>Answers</t>
  </si>
  <si>
    <t>English</t>
  </si>
  <si>
    <r>
      <rPr>
        <rFont val="Tahoma, Arial"/>
        <color rgb="FF000000"/>
        <sz val="9.0"/>
      </rPr>
      <t xml:space="preserve">What are the Average marks in </t>
    </r>
    <r>
      <rPr>
        <rFont val="Tahoma"/>
        <b/>
        <color theme="1"/>
        <sz val="9.0"/>
      </rPr>
      <t>Hindi</t>
    </r>
  </si>
  <si>
    <t>Hindi</t>
  </si>
  <si>
    <r>
      <rPr>
        <rFont val="Tahoma, Arial"/>
        <color rgb="FF000000"/>
        <sz val="9.0"/>
      </rPr>
      <t xml:space="preserve">What are the Total marks of </t>
    </r>
    <r>
      <rPr>
        <rFont val="Tahoma"/>
        <b/>
        <color theme="1"/>
        <sz val="9.0"/>
      </rPr>
      <t>Amey</t>
    </r>
  </si>
  <si>
    <t>Science</t>
  </si>
  <si>
    <r>
      <rPr>
        <rFont val="Tahoma, Arial"/>
        <color rgb="FF000000"/>
        <sz val="9.0"/>
      </rPr>
      <t xml:space="preserve">How many subjects does </t>
    </r>
    <r>
      <rPr>
        <rFont val="Tahoma"/>
        <b/>
        <color theme="1"/>
        <sz val="9.0"/>
      </rPr>
      <t>Dev</t>
    </r>
    <r>
      <rPr>
        <rFont val="Tahoma"/>
        <color theme="1"/>
        <sz val="9.0"/>
      </rPr>
      <t xml:space="preserve"> appear</t>
    </r>
  </si>
  <si>
    <t>Accounts</t>
  </si>
  <si>
    <r>
      <rPr>
        <rFont val="Tahoma, Arial"/>
        <color rgb="FF000000"/>
        <sz val="9.0"/>
      </rPr>
      <t xml:space="preserve">What is the total character in </t>
    </r>
    <r>
      <rPr>
        <rFont val="Tahoma"/>
        <b/>
        <color theme="1"/>
        <sz val="9.0"/>
      </rPr>
      <t>Amar</t>
    </r>
  </si>
  <si>
    <t>Abhir</t>
  </si>
  <si>
    <t>Use this table to obtain the Total Marks &amp; Division.</t>
  </si>
  <si>
    <t>Total Marks</t>
  </si>
  <si>
    <t>Division</t>
  </si>
  <si>
    <t>0-750</t>
  </si>
  <si>
    <t>A</t>
  </si>
  <si>
    <t>751-1000</t>
  </si>
  <si>
    <t>B</t>
  </si>
  <si>
    <t>1001-1250</t>
  </si>
  <si>
    <t>C</t>
  </si>
  <si>
    <t>Abhya</t>
  </si>
  <si>
    <t>Name</t>
  </si>
  <si>
    <t>Abish</t>
  </si>
  <si>
    <t>Amey</t>
  </si>
  <si>
    <t>Amit</t>
  </si>
  <si>
    <t>Amar</t>
  </si>
  <si>
    <t>Dev</t>
  </si>
  <si>
    <t>Raja</t>
  </si>
  <si>
    <t>Rajiv</t>
  </si>
  <si>
    <t>Vikas</t>
  </si>
  <si>
    <t>Sales</t>
  </si>
  <si>
    <t>HIGHLIGHT THE UPPER LETTER NAME ONLY</t>
  </si>
  <si>
    <t>AJAJ KUMAR RANA</t>
  </si>
  <si>
    <t>AMARJEET SINGH</t>
  </si>
  <si>
    <t>AMIT KUMAR VERMA</t>
  </si>
  <si>
    <t>ASIF KHAN</t>
  </si>
  <si>
    <t>GAURAV KHANNA</t>
  </si>
  <si>
    <t>KAKUL GUPTA</t>
  </si>
  <si>
    <t>LEKHA CHATURVEDI</t>
  </si>
  <si>
    <t>NITIN KANSAL</t>
  </si>
  <si>
    <t>PRADEEP SHARMA</t>
  </si>
  <si>
    <t>RAHUL AGGARWAL</t>
  </si>
  <si>
    <t>RAJPAL SINGH VAGAR</t>
  </si>
  <si>
    <t>RAUBIKA PAL</t>
  </si>
  <si>
    <t>RICHA KRISHNATRI</t>
  </si>
  <si>
    <t>SHAKTI SHARMA</t>
  </si>
  <si>
    <t>SHIVAM KUMAR GUPTA</t>
  </si>
  <si>
    <t>SONAM SINGH</t>
  </si>
  <si>
    <t>Sunanda Kaushal</t>
  </si>
  <si>
    <t>VIKAS VERMA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</si>
</sst>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₹&quot;\ * #,##0.00_ ;_ &quot;₹&quot;\ * \-#,##0.00_ ;_ &quot;₹&quot;\ * &quot;-&quot;??_ ;_ @_ "/>
  </numFmts>
  <fonts count="18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color theme="1"/>
      <name val="Arial"/>
      <scheme val="minor"/>
    </font>
    <font>
      <sz val="12.0"/>
      <color theme="1"/>
      <name val="Calibri"/>
    </font>
    <font>
      <b/>
      <color rgb="FFFFFFFF"/>
      <name val="Tahoma"/>
    </font>
    <font>
      <b/>
      <sz val="12.0"/>
      <color rgb="FFEA4335"/>
      <name val="Arial"/>
      <scheme val="minor"/>
    </font>
    <font>
      <color theme="1"/>
      <name val="Tahoma"/>
    </font>
    <font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sz val="11.0"/>
      <color theme="1"/>
      <name val="Calibri"/>
    </font>
    <font>
      <b/>
      <sz val="9.0"/>
      <color rgb="FFFFFFFF"/>
      <name val="Tahoma"/>
    </font>
    <font>
      <sz val="9.0"/>
      <color theme="1"/>
      <name val="Tahoma"/>
    </font>
    <font>
      <sz val="9.0"/>
      <color rgb="FF000000"/>
      <name val="Tahoma"/>
    </font>
    <font>
      <b/>
      <color theme="1"/>
      <name val="Arial"/>
      <scheme val="minor"/>
    </font>
    <font>
      <sz val="12.0"/>
      <color theme="1"/>
      <name val="Arial"/>
      <scheme val="minor"/>
    </font>
    <font>
      <color rgb="FF000000"/>
      <name val="Tahoma"/>
    </font>
  </fonts>
  <fills count="2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385623"/>
        <bgColor rgb="FF385623"/>
      </patternFill>
    </fill>
    <fill>
      <patternFill patternType="solid">
        <fgColor rgb="FF222A35"/>
        <bgColor rgb="FF222A3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70AD47"/>
        <bgColor rgb="FF70AD4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bottom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vertical="bottom"/>
    </xf>
    <xf borderId="1" fillId="0" fontId="4" numFmtId="1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2" fillId="4" fontId="5" numFmtId="0" xfId="0" applyAlignment="1" applyBorder="1" applyFont="1">
      <alignment horizontal="center" vertical="bottom"/>
    </xf>
    <xf borderId="3" fillId="0" fontId="7" numFmtId="0" xfId="0" applyAlignment="1" applyBorder="1" applyFont="1">
      <alignment vertical="bottom"/>
    </xf>
    <xf borderId="3" fillId="0" fontId="7" numFmtId="164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vertical="bottom"/>
    </xf>
    <xf borderId="1" fillId="4" fontId="5" numFmtId="0" xfId="0" applyAlignment="1" applyBorder="1" applyFont="1">
      <alignment horizontal="center" vertical="bottom"/>
    </xf>
    <xf borderId="4" fillId="5" fontId="7" numFmtId="0" xfId="0" applyAlignment="1" applyBorder="1" applyFill="1" applyFont="1">
      <alignment vertical="bottom"/>
    </xf>
    <xf borderId="5" fillId="5" fontId="7" numFmtId="164" xfId="0" applyAlignment="1" applyBorder="1" applyFont="1" applyNumberFormat="1">
      <alignment horizontal="center" vertical="bottom"/>
    </xf>
    <xf borderId="1" fillId="0" fontId="3" numFmtId="0" xfId="0" applyBorder="1" applyFont="1"/>
    <xf borderId="1" fillId="0" fontId="3" numFmtId="4" xfId="0" applyBorder="1" applyFont="1" applyNumberFormat="1"/>
    <xf borderId="0" fillId="0" fontId="8" numFmtId="0" xfId="0" applyFont="1"/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center" vertical="bottom"/>
    </xf>
    <xf borderId="6" fillId="6" fontId="5" numFmtId="0" xfId="0" applyBorder="1" applyFill="1" applyFont="1"/>
    <xf borderId="7" fillId="7" fontId="5" numFmtId="0" xfId="0" applyAlignment="1" applyBorder="1" applyFill="1" applyFont="1">
      <alignment horizontal="center"/>
    </xf>
    <xf borderId="8" fillId="0" fontId="9" numFmtId="0" xfId="0" applyBorder="1" applyFont="1"/>
    <xf borderId="9" fillId="0" fontId="9" numFmtId="0" xfId="0" applyBorder="1" applyFont="1"/>
    <xf borderId="7" fillId="8" fontId="5" numFmtId="0" xfId="0" applyAlignment="1" applyBorder="1" applyFill="1" applyFont="1">
      <alignment horizontal="center"/>
    </xf>
    <xf borderId="7" fillId="9" fontId="5" numFmtId="0" xfId="0" applyAlignment="1" applyBorder="1" applyFill="1" applyFont="1">
      <alignment horizontal="center"/>
    </xf>
    <xf borderId="7" fillId="10" fontId="5" numFmtId="0" xfId="0" applyAlignment="1" applyBorder="1" applyFill="1" applyFont="1">
      <alignment horizontal="center"/>
    </xf>
    <xf borderId="10" fillId="0" fontId="9" numFmtId="0" xfId="0" applyBorder="1" applyFont="1"/>
    <xf borderId="1" fillId="11" fontId="7" numFmtId="0" xfId="0" applyAlignment="1" applyBorder="1" applyFill="1" applyFont="1">
      <alignment horizontal="center"/>
    </xf>
    <xf borderId="1" fillId="12" fontId="7" numFmtId="0" xfId="0" applyAlignment="1" applyBorder="1" applyFill="1" applyFont="1">
      <alignment horizontal="center"/>
    </xf>
    <xf borderId="1" fillId="13" fontId="7" numFmtId="0" xfId="0" applyAlignment="1" applyBorder="1" applyFill="1" applyFont="1">
      <alignment horizontal="center"/>
    </xf>
    <xf borderId="1" fillId="14" fontId="7" numFmtId="0" xfId="0" applyAlignment="1" applyBorder="1" applyFill="1" applyFont="1">
      <alignment horizontal="center"/>
    </xf>
    <xf borderId="0" fillId="5" fontId="7" numFmtId="0" xfId="0" applyFont="1"/>
    <xf borderId="1" fillId="0" fontId="7" numFmtId="0" xfId="0" applyAlignment="1" applyBorder="1" applyFont="1">
      <alignment horizontal="center"/>
    </xf>
    <xf borderId="7" fillId="6" fontId="5" numFmtId="0" xfId="0" applyAlignment="1" applyBorder="1" applyFont="1">
      <alignment horizontal="center"/>
    </xf>
    <xf borderId="0" fillId="15" fontId="7" numFmtId="0" xfId="0" applyAlignment="1" applyFill="1" applyFont="1">
      <alignment readingOrder="0"/>
    </xf>
    <xf borderId="0" fillId="16" fontId="10" numFmtId="0" xfId="0" applyAlignment="1" applyFill="1" applyFont="1">
      <alignment readingOrder="0"/>
    </xf>
    <xf borderId="0" fillId="16" fontId="3" numFmtId="0" xfId="0" applyFont="1"/>
    <xf borderId="0" fillId="0" fontId="10" numFmtId="0" xfId="0" applyAlignment="1" applyFont="1">
      <alignment readingOrder="0"/>
    </xf>
    <xf borderId="0" fillId="0" fontId="3" numFmtId="0" xfId="0" applyFont="1"/>
    <xf borderId="0" fillId="16" fontId="5" numFmtId="0" xfId="0" applyFont="1"/>
    <xf borderId="0" fillId="16" fontId="5" numFmtId="0" xfId="0" applyAlignment="1" applyFont="1">
      <alignment horizontal="center"/>
    </xf>
    <xf borderId="1" fillId="9" fontId="5" numFmtId="0" xfId="0" applyAlignment="1" applyBorder="1" applyFont="1">
      <alignment horizontal="center"/>
    </xf>
    <xf borderId="1" fillId="9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16" fontId="7" numFmtId="0" xfId="0" applyFont="1"/>
    <xf borderId="0" fillId="16" fontId="7" numFmtId="0" xfId="0" applyAlignment="1" applyFont="1">
      <alignment horizontal="center"/>
    </xf>
    <xf borderId="1" fillId="3" fontId="11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1" fillId="2" fontId="12" numFmtId="0" xfId="0" applyBorder="1" applyFont="1"/>
    <xf borderId="1" fillId="2" fontId="12" numFmtId="0" xfId="0" applyAlignment="1" applyBorder="1" applyFont="1">
      <alignment horizontal="left"/>
    </xf>
    <xf borderId="1" fillId="2" fontId="12" numFmtId="0" xfId="0" applyAlignment="1" applyBorder="1" applyFont="1">
      <alignment horizontal="center"/>
    </xf>
    <xf borderId="1" fillId="3" fontId="13" numFmtId="0" xfId="0" applyBorder="1" applyFont="1"/>
    <xf borderId="1" fillId="3" fontId="13" numFmtId="0" xfId="0" applyAlignment="1" applyBorder="1" applyFont="1">
      <alignment horizontal="center"/>
    </xf>
    <xf borderId="7" fillId="2" fontId="12" numFmtId="0" xfId="0" applyBorder="1" applyFont="1"/>
    <xf borderId="7" fillId="3" fontId="14" numFmtId="0" xfId="0" applyBorder="1" applyFont="1"/>
    <xf borderId="1" fillId="17" fontId="11" numFmtId="1" xfId="0" applyBorder="1" applyFill="1" applyFont="1" applyNumberFormat="1"/>
    <xf borderId="0" fillId="0" fontId="15" numFmtId="0" xfId="0" applyAlignment="1" applyFont="1">
      <alignment readingOrder="0"/>
    </xf>
    <xf borderId="1" fillId="18" fontId="11" numFmtId="1" xfId="0" applyAlignment="1" applyBorder="1" applyFill="1" applyFont="1" applyNumberFormat="1">
      <alignment horizontal="center"/>
    </xf>
    <xf borderId="1" fillId="18" fontId="11" numFmtId="2" xfId="0" applyAlignment="1" applyBorder="1" applyFont="1" applyNumberFormat="1">
      <alignment horizontal="center" readingOrder="0"/>
    </xf>
    <xf borderId="1" fillId="0" fontId="5" numFmtId="0" xfId="0" applyBorder="1" applyFont="1"/>
    <xf borderId="1" fillId="19" fontId="5" numFmtId="0" xfId="0" applyAlignment="1" applyBorder="1" applyFill="1" applyFont="1">
      <alignment horizontal="center"/>
    </xf>
    <xf borderId="0" fillId="20" fontId="16" numFmtId="0" xfId="0" applyAlignment="1" applyFill="1" applyFont="1">
      <alignment horizontal="center" readingOrder="0" vertical="center"/>
    </xf>
    <xf borderId="0" fillId="0" fontId="16" numFmtId="0" xfId="0" applyFont="1"/>
    <xf borderId="1" fillId="21" fontId="17" numFmtId="0" xfId="0" applyAlignment="1" applyBorder="1" applyFill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  <col customWidth="1" min="2" max="2" width="36.88"/>
    <col customWidth="1" min="3" max="3" width="30.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</row>
    <row r="2" ht="20.25" customHeight="1">
      <c r="A2" s="6" t="s">
        <v>3</v>
      </c>
      <c r="B2" s="7" t="s">
        <v>4</v>
      </c>
      <c r="C2" s="8">
        <f>LEN(A2)</f>
        <v>19</v>
      </c>
      <c r="D2" s="4"/>
      <c r="E2" s="4"/>
      <c r="F2" s="4"/>
    </row>
    <row r="3">
      <c r="A3" s="7" t="s">
        <v>5</v>
      </c>
      <c r="B3" s="7" t="s">
        <v>6</v>
      </c>
      <c r="C3" s="8">
        <f>len(MID(A3,9,4))</f>
        <v>4</v>
      </c>
      <c r="D3" s="4"/>
      <c r="E3" s="4"/>
      <c r="F3" s="4"/>
    </row>
    <row r="4">
      <c r="A4" s="9">
        <v>44317.0</v>
      </c>
      <c r="B4" s="7" t="s">
        <v>7</v>
      </c>
      <c r="C4" s="8" t="str">
        <f>text(A4,"dddd")</f>
        <v>Saturday</v>
      </c>
      <c r="D4" s="4"/>
      <c r="E4" s="4"/>
      <c r="F4" s="4"/>
    </row>
    <row r="5">
      <c r="A5" s="9">
        <v>44331.0</v>
      </c>
      <c r="B5" s="7" t="s">
        <v>8</v>
      </c>
      <c r="C5" s="8">
        <f>YEAR(A5)</f>
        <v>2021</v>
      </c>
      <c r="D5" s="4"/>
      <c r="E5" s="4"/>
      <c r="F5" s="4"/>
    </row>
    <row r="6">
      <c r="A6" s="10" t="s">
        <v>3</v>
      </c>
      <c r="B6" s="7" t="s">
        <v>9</v>
      </c>
      <c r="C6" s="11" t="str">
        <f>MID(A6,7,5)</f>
        <v>Kumar</v>
      </c>
      <c r="D6" s="4"/>
      <c r="E6" s="4"/>
      <c r="F6" s="4"/>
    </row>
    <row r="7">
      <c r="A7" s="7" t="s">
        <v>3</v>
      </c>
      <c r="B7" s="7" t="s">
        <v>10</v>
      </c>
      <c r="C7" s="8" t="str">
        <f>SUBSTITUTE(A7,"Kumar","")</f>
        <v>Mohit  Rastogi</v>
      </c>
      <c r="D7" s="4"/>
      <c r="E7" s="5"/>
      <c r="F7" s="4"/>
    </row>
    <row r="8">
      <c r="A8" s="6" t="s">
        <v>3</v>
      </c>
      <c r="B8" s="7" t="s">
        <v>11</v>
      </c>
      <c r="C8" s="8" t="str">
        <f>IFERROR(__xludf.DUMMYFUNCTION("INDEX(SPLIT(A8,"" ""),COUNTA(SPLIT(A8,"" "")))"),"Rastogi")</f>
        <v>Rastogi</v>
      </c>
      <c r="D8" s="4"/>
      <c r="E8" s="4"/>
      <c r="F8" s="4"/>
    </row>
    <row r="9">
      <c r="A9" s="6" t="s">
        <v>12</v>
      </c>
      <c r="B9" s="7" t="s">
        <v>13</v>
      </c>
      <c r="C9" s="8" t="str">
        <f>IFERROR(__xludf.DUMMYFUNCTION("INDEX(SPLIT(A9,"" ""),COUNTA(SPLIT(A9,"" "")))"),"Kumar")</f>
        <v>Kumar</v>
      </c>
      <c r="D9" s="4"/>
      <c r="E9" s="4"/>
      <c r="F9" s="4"/>
    </row>
    <row r="32">
      <c r="B32" s="12" t="str">
        <f>LEN(CELL(A2))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2.38"/>
    <col customWidth="1" min="5" max="5" width="17.75"/>
    <col customWidth="1" min="6" max="6" width="26.13"/>
    <col customWidth="1" min="7" max="7" width="17.88"/>
    <col customWidth="1" min="8" max="8" width="21.88"/>
  </cols>
  <sheetData>
    <row r="1">
      <c r="B1" s="13"/>
      <c r="C1" s="14"/>
      <c r="E1" s="15" t="s">
        <v>14</v>
      </c>
    </row>
    <row r="2">
      <c r="B2" s="16" t="s">
        <v>15</v>
      </c>
      <c r="C2" s="17" t="s">
        <v>16</v>
      </c>
    </row>
    <row r="3">
      <c r="B3" s="18" t="s">
        <v>17</v>
      </c>
      <c r="C3" s="19">
        <v>71308.0</v>
      </c>
      <c r="E3" s="20" t="s">
        <v>15</v>
      </c>
      <c r="F3" s="21" t="s">
        <v>16</v>
      </c>
    </row>
    <row r="4">
      <c r="B4" s="22" t="s">
        <v>18</v>
      </c>
      <c r="C4" s="23">
        <v>59369.0</v>
      </c>
      <c r="E4" s="24" t="str">
        <f t="array" ref="E4">INDEX(B3:B57,MATCH(LARGE(C3:C57,1),C3:C57,0))</f>
        <v>Shivam Kumar Gupta</v>
      </c>
      <c r="F4" s="25">
        <f>LARGE(C3:C57,1)</f>
        <v>89151</v>
      </c>
    </row>
    <row r="5">
      <c r="B5" s="18" t="s">
        <v>19</v>
      </c>
      <c r="C5" s="19">
        <v>72391.0</v>
      </c>
      <c r="E5" s="24" t="str">
        <f t="array" ref="E5">INDEX(B3:B57,MATCH(LARGE(C3:C57,2),C3:C57,0))</f>
        <v>Pawan Kr Saini</v>
      </c>
      <c r="F5" s="25">
        <f>LARGE(C3:C57,2)</f>
        <v>87365</v>
      </c>
    </row>
    <row r="6">
      <c r="B6" s="22" t="s">
        <v>20</v>
      </c>
      <c r="C6" s="23">
        <v>55669.0</v>
      </c>
      <c r="E6" s="24" t="str">
        <f t="array" ref="E6">INDEX(B3:B57,MATCH(LARGE(C3:C57,3),C3:C57,0))</f>
        <v>Sunil Dutt</v>
      </c>
      <c r="F6" s="25">
        <f>LARGE(C3:C57,3)</f>
        <v>84365</v>
      </c>
    </row>
    <row r="7">
      <c r="B7" s="18" t="s">
        <v>21</v>
      </c>
      <c r="C7" s="19">
        <v>29210.0</v>
      </c>
    </row>
    <row r="8">
      <c r="B8" s="22" t="s">
        <v>22</v>
      </c>
      <c r="C8" s="23">
        <v>76420.0</v>
      </c>
    </row>
    <row r="9">
      <c r="B9" s="18" t="s">
        <v>23</v>
      </c>
      <c r="C9" s="19">
        <v>26844.0</v>
      </c>
    </row>
    <row r="10">
      <c r="B10" s="22" t="s">
        <v>24</v>
      </c>
      <c r="C10" s="23">
        <v>26525.0</v>
      </c>
      <c r="H10" s="26"/>
    </row>
    <row r="11">
      <c r="B11" s="18" t="s">
        <v>25</v>
      </c>
      <c r="C11" s="19">
        <v>28810.0</v>
      </c>
    </row>
    <row r="12">
      <c r="B12" s="22" t="s">
        <v>26</v>
      </c>
      <c r="C12" s="23">
        <v>79089.0</v>
      </c>
    </row>
    <row r="13">
      <c r="B13" s="18" t="s">
        <v>27</v>
      </c>
      <c r="C13" s="19">
        <v>40821.0</v>
      </c>
    </row>
    <row r="14">
      <c r="B14" s="22" t="s">
        <v>28</v>
      </c>
      <c r="C14" s="23">
        <v>89151.0</v>
      </c>
    </row>
    <row r="15">
      <c r="B15" s="18" t="s">
        <v>29</v>
      </c>
      <c r="C15" s="19">
        <v>60580.0</v>
      </c>
    </row>
    <row r="16">
      <c r="B16" s="22" t="s">
        <v>30</v>
      </c>
      <c r="C16" s="23">
        <v>40332.0</v>
      </c>
    </row>
    <row r="17">
      <c r="B17" s="18" t="s">
        <v>31</v>
      </c>
      <c r="C17" s="19">
        <v>27079.0</v>
      </c>
    </row>
    <row r="18">
      <c r="B18" s="22" t="s">
        <v>32</v>
      </c>
      <c r="C18" s="23">
        <v>33808.0</v>
      </c>
    </row>
    <row r="19">
      <c r="B19" s="18" t="s">
        <v>33</v>
      </c>
      <c r="C19" s="19">
        <v>73224.0</v>
      </c>
    </row>
    <row r="20">
      <c r="B20" s="22" t="s">
        <v>34</v>
      </c>
      <c r="C20" s="23">
        <v>32742.0</v>
      </c>
    </row>
    <row r="21">
      <c r="B21" s="18" t="s">
        <v>35</v>
      </c>
      <c r="C21" s="19">
        <v>41764.0</v>
      </c>
    </row>
    <row r="22">
      <c r="B22" s="22" t="s">
        <v>36</v>
      </c>
      <c r="C22" s="23">
        <v>44035.0</v>
      </c>
    </row>
    <row r="23">
      <c r="B23" s="18" t="s">
        <v>37</v>
      </c>
      <c r="C23" s="19">
        <v>55182.0</v>
      </c>
    </row>
    <row r="24">
      <c r="B24" s="22" t="s">
        <v>38</v>
      </c>
      <c r="C24" s="23">
        <v>39978.0</v>
      </c>
    </row>
    <row r="25">
      <c r="B25" s="18" t="s">
        <v>39</v>
      </c>
      <c r="C25" s="19">
        <v>22704.0</v>
      </c>
    </row>
    <row r="26">
      <c r="B26" s="22" t="s">
        <v>40</v>
      </c>
      <c r="C26" s="23">
        <v>51861.0</v>
      </c>
    </row>
    <row r="27">
      <c r="B27" s="18" t="s">
        <v>41</v>
      </c>
      <c r="C27" s="19">
        <v>48694.0</v>
      </c>
    </row>
    <row r="28">
      <c r="B28" s="22" t="s">
        <v>42</v>
      </c>
      <c r="C28" s="23">
        <v>37852.0</v>
      </c>
    </row>
    <row r="29">
      <c r="B29" s="18" t="s">
        <v>43</v>
      </c>
      <c r="C29" s="19">
        <v>70722.0</v>
      </c>
    </row>
    <row r="30">
      <c r="B30" s="22" t="s">
        <v>44</v>
      </c>
      <c r="C30" s="23">
        <v>26222.0</v>
      </c>
    </row>
    <row r="31">
      <c r="B31" s="18" t="s">
        <v>45</v>
      </c>
      <c r="C31" s="19">
        <v>44980.0</v>
      </c>
    </row>
    <row r="32">
      <c r="B32" s="22" t="s">
        <v>46</v>
      </c>
      <c r="C32" s="23">
        <v>70538.0</v>
      </c>
    </row>
    <row r="33">
      <c r="B33" s="18" t="s">
        <v>47</v>
      </c>
      <c r="C33" s="19">
        <v>61280.0</v>
      </c>
    </row>
    <row r="34">
      <c r="B34" s="22" t="s">
        <v>48</v>
      </c>
      <c r="C34" s="23">
        <v>31301.0</v>
      </c>
    </row>
    <row r="35">
      <c r="B35" s="18" t="s">
        <v>49</v>
      </c>
      <c r="C35" s="19">
        <v>23406.0</v>
      </c>
    </row>
    <row r="36">
      <c r="B36" s="22" t="s">
        <v>50</v>
      </c>
      <c r="C36" s="23">
        <v>84234.0</v>
      </c>
    </row>
    <row r="37">
      <c r="B37" s="18" t="s">
        <v>51</v>
      </c>
      <c r="C37" s="19">
        <v>72903.0</v>
      </c>
    </row>
    <row r="38">
      <c r="B38" s="22" t="s">
        <v>52</v>
      </c>
      <c r="C38" s="23">
        <v>45103.0</v>
      </c>
    </row>
    <row r="39">
      <c r="B39" s="18" t="s">
        <v>53</v>
      </c>
      <c r="C39" s="19">
        <v>72876.0</v>
      </c>
    </row>
    <row r="40">
      <c r="B40" s="22" t="s">
        <v>54</v>
      </c>
      <c r="C40" s="23">
        <v>51813.0</v>
      </c>
    </row>
    <row r="41">
      <c r="B41" s="18" t="s">
        <v>55</v>
      </c>
      <c r="C41" s="19">
        <v>87365.0</v>
      </c>
    </row>
    <row r="42">
      <c r="B42" s="22" t="s">
        <v>56</v>
      </c>
      <c r="C42" s="23">
        <v>49520.0</v>
      </c>
    </row>
    <row r="43">
      <c r="B43" s="18" t="s">
        <v>57</v>
      </c>
      <c r="C43" s="19">
        <v>66171.0</v>
      </c>
    </row>
    <row r="44">
      <c r="B44" s="22" t="s">
        <v>58</v>
      </c>
      <c r="C44" s="23">
        <v>53363.0</v>
      </c>
    </row>
    <row r="45">
      <c r="B45" s="18" t="s">
        <v>59</v>
      </c>
      <c r="C45" s="19">
        <v>84365.0</v>
      </c>
    </row>
    <row r="46">
      <c r="B46" s="22" t="s">
        <v>60</v>
      </c>
      <c r="C46" s="23">
        <v>43642.0</v>
      </c>
    </row>
    <row r="47">
      <c r="B47" s="18" t="s">
        <v>61</v>
      </c>
      <c r="C47" s="19">
        <v>62518.0</v>
      </c>
    </row>
    <row r="48">
      <c r="B48" s="22" t="s">
        <v>62</v>
      </c>
      <c r="C48" s="23">
        <v>51399.0</v>
      </c>
    </row>
    <row r="49">
      <c r="B49" s="18" t="s">
        <v>63</v>
      </c>
      <c r="C49" s="19">
        <v>35762.0</v>
      </c>
    </row>
    <row r="50">
      <c r="B50" s="22" t="s">
        <v>64</v>
      </c>
      <c r="C50" s="23">
        <v>54040.0</v>
      </c>
    </row>
    <row r="51">
      <c r="B51" s="18" t="s">
        <v>65</v>
      </c>
      <c r="C51" s="19">
        <v>23860.0</v>
      </c>
    </row>
    <row r="52">
      <c r="B52" s="22" t="s">
        <v>66</v>
      </c>
      <c r="C52" s="23">
        <v>51455.0</v>
      </c>
    </row>
    <row r="53">
      <c r="B53" s="18" t="s">
        <v>67</v>
      </c>
      <c r="C53" s="19">
        <v>74793.0</v>
      </c>
    </row>
    <row r="54">
      <c r="B54" s="22" t="s">
        <v>68</v>
      </c>
      <c r="C54" s="23">
        <v>64719.0</v>
      </c>
    </row>
    <row r="55">
      <c r="B55" s="18" t="s">
        <v>69</v>
      </c>
      <c r="C55" s="19">
        <v>31485.0</v>
      </c>
    </row>
    <row r="56">
      <c r="B56" s="22" t="s">
        <v>70</v>
      </c>
      <c r="C56" s="23">
        <v>61190.0</v>
      </c>
    </row>
    <row r="57">
      <c r="B57" s="27" t="s">
        <v>71</v>
      </c>
      <c r="C57" s="28">
        <v>42343.0</v>
      </c>
    </row>
  </sheetData>
  <mergeCells count="1">
    <mergeCell ref="E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3" max="3" width="7.13"/>
    <col customWidth="1" min="4" max="4" width="6.75"/>
    <col customWidth="1" min="5" max="5" width="7.88"/>
    <col customWidth="1" min="6" max="6" width="9.13"/>
    <col customWidth="1" min="7" max="7" width="8.0"/>
    <col customWidth="1" min="8" max="8" width="12.25"/>
    <col customWidth="1" min="9" max="10" width="8.38"/>
    <col customWidth="1" min="11" max="11" width="6.5"/>
    <col customWidth="1" min="12" max="12" width="7.0"/>
    <col customWidth="1" min="13" max="13" width="5.25"/>
    <col customWidth="1" min="14" max="14" width="8.38"/>
    <col customWidth="1" min="15" max="15" width="8.0"/>
    <col customWidth="1" min="16" max="16" width="7.88"/>
    <col customWidth="1" min="17" max="17" width="8.63"/>
    <col customWidth="1" min="18" max="18" width="7.75"/>
  </cols>
  <sheetData>
    <row r="1">
      <c r="B1" s="29" t="s">
        <v>72</v>
      </c>
      <c r="C1" s="30" t="s">
        <v>73</v>
      </c>
      <c r="D1" s="31"/>
      <c r="E1" s="31"/>
      <c r="F1" s="32"/>
      <c r="G1" s="33" t="s">
        <v>74</v>
      </c>
      <c r="H1" s="31"/>
      <c r="I1" s="31"/>
      <c r="J1" s="32"/>
      <c r="K1" s="34" t="s">
        <v>75</v>
      </c>
      <c r="L1" s="31"/>
      <c r="M1" s="31"/>
      <c r="N1" s="32"/>
      <c r="O1" s="35" t="s">
        <v>76</v>
      </c>
      <c r="P1" s="31"/>
      <c r="Q1" s="31"/>
      <c r="R1" s="32"/>
    </row>
    <row r="2">
      <c r="B2" s="36"/>
      <c r="C2" s="37" t="s">
        <v>77</v>
      </c>
      <c r="D2" s="37" t="s">
        <v>78</v>
      </c>
      <c r="E2" s="37" t="s">
        <v>79</v>
      </c>
      <c r="F2" s="37" t="s">
        <v>80</v>
      </c>
      <c r="G2" s="38" t="s">
        <v>77</v>
      </c>
      <c r="H2" s="38" t="s">
        <v>78</v>
      </c>
      <c r="I2" s="38" t="s">
        <v>79</v>
      </c>
      <c r="J2" s="38" t="s">
        <v>80</v>
      </c>
      <c r="K2" s="39" t="s">
        <v>77</v>
      </c>
      <c r="L2" s="39" t="s">
        <v>78</v>
      </c>
      <c r="M2" s="39" t="s">
        <v>79</v>
      </c>
      <c r="N2" s="39" t="s">
        <v>80</v>
      </c>
      <c r="O2" s="40" t="s">
        <v>77</v>
      </c>
      <c r="P2" s="40" t="s">
        <v>78</v>
      </c>
      <c r="Q2" s="40" t="s">
        <v>79</v>
      </c>
      <c r="R2" s="40" t="s">
        <v>80</v>
      </c>
    </row>
    <row r="3">
      <c r="B3" s="41" t="s">
        <v>81</v>
      </c>
      <c r="C3" s="42">
        <v>91.0</v>
      </c>
      <c r="D3" s="42">
        <v>74.0</v>
      </c>
      <c r="E3" s="42">
        <v>77.0</v>
      </c>
      <c r="F3" s="42">
        <v>94.0</v>
      </c>
      <c r="G3" s="42">
        <v>84.0</v>
      </c>
      <c r="H3" s="42">
        <v>56.0</v>
      </c>
      <c r="I3" s="42">
        <v>11.0</v>
      </c>
      <c r="J3" s="42">
        <v>20.0</v>
      </c>
      <c r="K3" s="42">
        <v>77.0</v>
      </c>
      <c r="L3" s="42">
        <v>44.0</v>
      </c>
      <c r="M3" s="42">
        <v>58.0</v>
      </c>
      <c r="N3" s="42">
        <v>78.0</v>
      </c>
      <c r="O3" s="42">
        <v>88.0</v>
      </c>
      <c r="P3" s="42">
        <v>69.0</v>
      </c>
      <c r="Q3" s="42">
        <v>90.0</v>
      </c>
      <c r="R3" s="42">
        <v>20.0</v>
      </c>
    </row>
    <row r="4">
      <c r="B4" s="41" t="s">
        <v>82</v>
      </c>
      <c r="C4" s="42">
        <v>86.0</v>
      </c>
      <c r="D4" s="42">
        <v>75.0</v>
      </c>
      <c r="E4" s="42">
        <v>62.0</v>
      </c>
      <c r="F4" s="42">
        <v>62.0</v>
      </c>
      <c r="G4" s="42">
        <v>16.0</v>
      </c>
      <c r="H4" s="42">
        <v>67.0</v>
      </c>
      <c r="I4" s="42">
        <v>58.0</v>
      </c>
      <c r="J4" s="42">
        <v>42.0</v>
      </c>
      <c r="K4" s="42">
        <v>88.0</v>
      </c>
      <c r="L4" s="42">
        <v>21.0</v>
      </c>
      <c r="M4" s="42">
        <v>44.0</v>
      </c>
      <c r="N4" s="42">
        <v>95.0</v>
      </c>
      <c r="O4" s="42">
        <v>73.0</v>
      </c>
      <c r="P4" s="42">
        <v>18.0</v>
      </c>
      <c r="Q4" s="42">
        <v>59.0</v>
      </c>
      <c r="R4" s="42">
        <v>28.0</v>
      </c>
    </row>
    <row r="5">
      <c r="B5" s="41" t="s">
        <v>83</v>
      </c>
      <c r="C5" s="42">
        <v>61.0</v>
      </c>
      <c r="D5" s="42">
        <v>17.0</v>
      </c>
      <c r="E5" s="42">
        <v>49.0</v>
      </c>
      <c r="F5" s="42">
        <v>75.0</v>
      </c>
      <c r="G5" s="42">
        <v>80.0</v>
      </c>
      <c r="H5" s="42">
        <v>34.0</v>
      </c>
      <c r="I5" s="42">
        <v>35.0</v>
      </c>
      <c r="J5" s="42">
        <v>58.0</v>
      </c>
      <c r="K5" s="42">
        <v>32.0</v>
      </c>
      <c r="L5" s="42">
        <v>83.0</v>
      </c>
      <c r="M5" s="42">
        <v>16.0</v>
      </c>
      <c r="N5" s="42">
        <v>31.0</v>
      </c>
      <c r="O5" s="42">
        <v>40.0</v>
      </c>
      <c r="P5" s="42">
        <v>60.0</v>
      </c>
      <c r="Q5" s="42">
        <v>11.0</v>
      </c>
      <c r="R5" s="42">
        <v>92.0</v>
      </c>
    </row>
    <row r="6">
      <c r="B6" s="41" t="s">
        <v>84</v>
      </c>
      <c r="C6" s="42">
        <v>57.0</v>
      </c>
      <c r="D6" s="42">
        <v>50.0</v>
      </c>
      <c r="E6" s="42">
        <v>61.0</v>
      </c>
      <c r="F6" s="42">
        <v>56.0</v>
      </c>
      <c r="G6" s="42">
        <v>60.0</v>
      </c>
      <c r="H6" s="42">
        <v>52.0</v>
      </c>
      <c r="I6" s="42">
        <v>60.0</v>
      </c>
      <c r="J6" s="42">
        <v>60.0</v>
      </c>
      <c r="K6" s="42">
        <v>78.0</v>
      </c>
      <c r="L6" s="42">
        <v>21.0</v>
      </c>
      <c r="M6" s="42">
        <v>84.0</v>
      </c>
      <c r="N6" s="42">
        <v>91.0</v>
      </c>
      <c r="O6" s="42">
        <v>69.0</v>
      </c>
      <c r="P6" s="42">
        <v>50.0</v>
      </c>
      <c r="Q6" s="42">
        <v>47.0</v>
      </c>
      <c r="R6" s="42">
        <v>49.0</v>
      </c>
    </row>
    <row r="7">
      <c r="B7" s="41" t="s">
        <v>85</v>
      </c>
      <c r="C7" s="42">
        <v>55.0</v>
      </c>
      <c r="D7" s="42">
        <v>21.0</v>
      </c>
      <c r="E7" s="42">
        <v>29.0</v>
      </c>
      <c r="F7" s="42">
        <v>12.0</v>
      </c>
      <c r="G7" s="42">
        <v>54.0</v>
      </c>
      <c r="H7" s="42">
        <v>56.0</v>
      </c>
      <c r="I7" s="42">
        <v>86.0</v>
      </c>
      <c r="J7" s="42">
        <v>39.0</v>
      </c>
      <c r="K7" s="42">
        <v>62.0</v>
      </c>
      <c r="L7" s="42">
        <v>13.0</v>
      </c>
      <c r="M7" s="42">
        <v>81.0</v>
      </c>
      <c r="N7" s="42">
        <v>40.0</v>
      </c>
      <c r="O7" s="42">
        <v>34.0</v>
      </c>
      <c r="P7" s="42">
        <v>53.0</v>
      </c>
      <c r="Q7" s="42">
        <v>70.0</v>
      </c>
      <c r="R7" s="42">
        <v>18.0</v>
      </c>
    </row>
    <row r="8">
      <c r="B8" s="41" t="s">
        <v>86</v>
      </c>
      <c r="C8" s="42">
        <v>49.0</v>
      </c>
      <c r="D8" s="42">
        <v>45.0</v>
      </c>
      <c r="E8" s="42">
        <v>75.0</v>
      </c>
      <c r="F8" s="42">
        <v>60.0</v>
      </c>
      <c r="G8" s="42">
        <v>42.0</v>
      </c>
      <c r="H8" s="42">
        <v>70.0</v>
      </c>
      <c r="I8" s="42">
        <v>64.0</v>
      </c>
      <c r="J8" s="42">
        <v>57.0</v>
      </c>
      <c r="K8" s="42">
        <v>68.0</v>
      </c>
      <c r="L8" s="42">
        <v>19.0</v>
      </c>
      <c r="M8" s="42">
        <v>97.0</v>
      </c>
      <c r="N8" s="42">
        <v>75.0</v>
      </c>
      <c r="O8" s="42">
        <v>16.0</v>
      </c>
      <c r="P8" s="42">
        <v>97.0</v>
      </c>
      <c r="Q8" s="42">
        <v>65.0</v>
      </c>
      <c r="R8" s="42">
        <v>74.0</v>
      </c>
    </row>
    <row r="10">
      <c r="G10" s="43" t="s">
        <v>87</v>
      </c>
      <c r="H10" s="32"/>
      <c r="I10" s="44" t="s">
        <v>81</v>
      </c>
    </row>
    <row r="11">
      <c r="B11" s="45"/>
      <c r="C11" s="46"/>
      <c r="D11" s="46"/>
      <c r="E11" s="46"/>
      <c r="G11" s="47" t="s">
        <v>88</v>
      </c>
      <c r="H11" s="48"/>
      <c r="I11" s="48"/>
      <c r="J11" s="48"/>
      <c r="K11" s="48"/>
      <c r="L11" s="48"/>
    </row>
    <row r="12">
      <c r="B12" s="49"/>
      <c r="C12" s="50"/>
      <c r="D12" s="50"/>
      <c r="E12" s="50"/>
      <c r="G12" s="51" t="s">
        <v>89</v>
      </c>
      <c r="H12" s="52" t="s">
        <v>90</v>
      </c>
      <c r="I12" s="51" t="s">
        <v>74</v>
      </c>
      <c r="J12" s="51" t="s">
        <v>75</v>
      </c>
      <c r="K12" s="51" t="s">
        <v>76</v>
      </c>
      <c r="M12" s="53"/>
      <c r="N12" s="53"/>
      <c r="O12" s="53"/>
    </row>
    <row r="13">
      <c r="B13" s="54"/>
      <c r="C13" s="55"/>
      <c r="D13" s="55"/>
      <c r="E13" s="55"/>
      <c r="G13" s="39" t="s">
        <v>77</v>
      </c>
      <c r="H13" s="56">
        <f t="array" ref="H13">INDEX(C3:C8,MATCH($I$10,$B$3:$B$8,0))</f>
        <v>91</v>
      </c>
      <c r="I13" s="57">
        <f t="array" ref="I13">INDEX(G3:G8,MATCH($I$10,$B$3:$B$8,0))</f>
        <v>84</v>
      </c>
      <c r="J13" s="57">
        <f t="array" ref="J13">INDEX(K3:K8,MATCH($I$10,$B$3:$B$8,0))</f>
        <v>77</v>
      </c>
      <c r="K13" s="57">
        <f t="array" ref="K13">INDEX(O3:O8,MATCH($I$10,$B$3:$B$8,0))</f>
        <v>88</v>
      </c>
      <c r="M13" s="58"/>
      <c r="N13" s="59"/>
      <c r="O13" s="59"/>
      <c r="P13" s="59"/>
    </row>
    <row r="14">
      <c r="B14" s="54"/>
      <c r="C14" s="55"/>
      <c r="D14" s="55"/>
      <c r="E14" s="55"/>
      <c r="G14" s="39" t="s">
        <v>78</v>
      </c>
      <c r="H14" s="57">
        <f t="array" ref="H14">INDEX(D3:D8,MATCH($I$10,$B$3:$B$8,0))</f>
        <v>74</v>
      </c>
      <c r="I14" s="57">
        <f t="array" ref="I14">INDEX(H3:H8,MATCH($I$10,$B$3:$B$8,0))</f>
        <v>56</v>
      </c>
      <c r="J14" s="57">
        <f t="array" ref="J14">INDEX(L3:L8,MATCH($I$10,$B$3:$B$8,0))</f>
        <v>44</v>
      </c>
      <c r="K14" s="57">
        <f t="array" ref="K14">INDEX(P3:P8,MATCH($I$10,$B$3:$B$8,0))</f>
        <v>69</v>
      </c>
      <c r="M14" s="58"/>
      <c r="N14" s="59"/>
      <c r="O14" s="59"/>
      <c r="P14" s="59"/>
    </row>
    <row r="15">
      <c r="B15" s="54"/>
      <c r="C15" s="55"/>
      <c r="D15" s="55"/>
      <c r="E15" s="55"/>
      <c r="G15" s="39" t="s">
        <v>79</v>
      </c>
      <c r="H15" s="57">
        <f t="array" ref="H15">INDEX(E3:E8,MATCH($I$10,$B$3:$B$8,0))</f>
        <v>77</v>
      </c>
      <c r="I15" s="57">
        <f t="array" ref="I15">INDEX(I3:I8,MATCH($I$10,$B$3:$B$8,0))</f>
        <v>11</v>
      </c>
      <c r="J15" s="57">
        <f t="array" ref="J15">INDEX(M3:M8,MATCH($I$10,$B$3:$B$8,0))</f>
        <v>58</v>
      </c>
      <c r="K15" s="57">
        <f t="array" ref="K15">INDEX(Q3:Q8,MATCH($I$10,$B$3:$B$8,0))</f>
        <v>90</v>
      </c>
      <c r="M15" s="58"/>
      <c r="N15" s="59"/>
      <c r="O15" s="59"/>
      <c r="P15" s="59"/>
    </row>
    <row r="16">
      <c r="B16" s="54"/>
      <c r="C16" s="55"/>
      <c r="D16" s="55"/>
      <c r="E16" s="55"/>
      <c r="G16" s="39" t="s">
        <v>80</v>
      </c>
      <c r="H16" s="57">
        <f t="array" ref="H16">INDEX(F3:F8,MATCH($I$10,$B$3:$B$8,0))</f>
        <v>94</v>
      </c>
      <c r="I16" s="57">
        <f t="array" ref="I16">INDEX(J3:J8,MATCH($I$10,$B$3:$B$8,0))</f>
        <v>20</v>
      </c>
      <c r="J16" s="56">
        <f t="array" ref="J16">INDEX(N3:N8,MATCH($I$10,$B$3:$B$8,0))</f>
        <v>78</v>
      </c>
      <c r="K16" s="57">
        <f t="array" ref="K16">INDEX(R3:R8,MATCH($I$10,$B$3:$B$8,0))</f>
        <v>20</v>
      </c>
      <c r="M16" s="58"/>
      <c r="N16" s="59"/>
      <c r="O16" s="59"/>
      <c r="P16" s="59"/>
    </row>
  </sheetData>
  <mergeCells count="7">
    <mergeCell ref="B1:B2"/>
    <mergeCell ref="C1:F1"/>
    <mergeCell ref="G1:J1"/>
    <mergeCell ref="K1:N1"/>
    <mergeCell ref="O1:R1"/>
    <mergeCell ref="G10:H10"/>
    <mergeCell ref="I10:J10"/>
  </mergeCells>
  <dataValidations>
    <dataValidation type="list" allowBlank="1" showErrorMessage="1" sqref="I10">
      <formula1>$B$3:$B$8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6.5"/>
    <col customWidth="1" min="7" max="7" width="16.0"/>
    <col customWidth="1" min="8" max="8" width="14.38"/>
  </cols>
  <sheetData>
    <row r="1">
      <c r="A1" s="60" t="s">
        <v>91</v>
      </c>
      <c r="B1" s="61" t="s">
        <v>92</v>
      </c>
      <c r="C1" s="62" t="s">
        <v>93</v>
      </c>
      <c r="D1" s="62" t="s">
        <v>94</v>
      </c>
    </row>
    <row r="2">
      <c r="A2" s="63" t="s">
        <v>95</v>
      </c>
      <c r="B2" s="63" t="s">
        <v>96</v>
      </c>
      <c r="C2" s="64">
        <v>250.0</v>
      </c>
      <c r="D2" s="64">
        <v>225.0</v>
      </c>
      <c r="F2" s="65" t="s">
        <v>97</v>
      </c>
      <c r="G2" s="32"/>
      <c r="H2" s="62" t="s">
        <v>98</v>
      </c>
    </row>
    <row r="3">
      <c r="A3" s="63" t="s">
        <v>95</v>
      </c>
      <c r="B3" s="63" t="s">
        <v>99</v>
      </c>
      <c r="C3" s="64">
        <v>250.0</v>
      </c>
      <c r="D3" s="64">
        <v>239.0</v>
      </c>
      <c r="F3" s="66" t="s">
        <v>100</v>
      </c>
      <c r="G3" s="32"/>
      <c r="H3" s="67">
        <f>AVERAGEIF(B2:B36,"Hindi",D2:D36)</f>
        <v>235.4285714</v>
      </c>
    </row>
    <row r="4">
      <c r="A4" s="63" t="s">
        <v>95</v>
      </c>
      <c r="B4" s="63" t="s">
        <v>101</v>
      </c>
      <c r="C4" s="64">
        <v>250.0</v>
      </c>
      <c r="D4" s="64">
        <v>232.0</v>
      </c>
      <c r="F4" s="66" t="s">
        <v>102</v>
      </c>
      <c r="G4" s="32"/>
      <c r="H4" s="67">
        <f>SUMIF(A2:A36,"Amey",D2:D36)</f>
        <v>696</v>
      </c>
    </row>
    <row r="5">
      <c r="A5" s="63" t="s">
        <v>95</v>
      </c>
      <c r="B5" s="63" t="s">
        <v>103</v>
      </c>
      <c r="C5" s="64">
        <v>250.0</v>
      </c>
      <c r="D5" s="64">
        <v>225.0</v>
      </c>
      <c r="F5" s="66" t="s">
        <v>104</v>
      </c>
      <c r="G5" s="32"/>
      <c r="H5" s="67">
        <f>COUNTIF(A2:A36,"Dev")</f>
        <v>1</v>
      </c>
    </row>
    <row r="6">
      <c r="A6" s="63" t="s">
        <v>95</v>
      </c>
      <c r="B6" s="63" t="s">
        <v>105</v>
      </c>
      <c r="C6" s="64">
        <v>250.0</v>
      </c>
      <c r="D6" s="64">
        <v>231.0</v>
      </c>
      <c r="F6" s="66" t="s">
        <v>106</v>
      </c>
      <c r="G6" s="32"/>
      <c r="H6" s="67">
        <f>LEN(A20)</f>
        <v>4</v>
      </c>
    </row>
    <row r="7">
      <c r="A7" s="63" t="s">
        <v>107</v>
      </c>
      <c r="B7" s="63" t="s">
        <v>96</v>
      </c>
      <c r="C7" s="64">
        <v>250.0</v>
      </c>
      <c r="D7" s="64">
        <v>231.0</v>
      </c>
    </row>
    <row r="8">
      <c r="A8" s="63" t="s">
        <v>107</v>
      </c>
      <c r="B8" s="63" t="s">
        <v>99</v>
      </c>
      <c r="C8" s="64">
        <v>250.0</v>
      </c>
      <c r="D8" s="64">
        <v>236.0</v>
      </c>
      <c r="F8" s="68" t="s">
        <v>108</v>
      </c>
    </row>
    <row r="9">
      <c r="A9" s="63" t="s">
        <v>107</v>
      </c>
      <c r="B9" s="63" t="s">
        <v>101</v>
      </c>
      <c r="C9" s="64">
        <v>250.0</v>
      </c>
      <c r="D9" s="64">
        <v>235.0</v>
      </c>
      <c r="F9" s="60" t="s">
        <v>109</v>
      </c>
      <c r="G9" s="62" t="s">
        <v>110</v>
      </c>
    </row>
    <row r="10">
      <c r="A10" s="63" t="s">
        <v>107</v>
      </c>
      <c r="B10" s="63" t="s">
        <v>103</v>
      </c>
      <c r="C10" s="64">
        <v>250.0</v>
      </c>
      <c r="D10" s="64">
        <v>195.0</v>
      </c>
      <c r="F10" s="63" t="s">
        <v>111</v>
      </c>
      <c r="G10" s="64" t="s">
        <v>112</v>
      </c>
    </row>
    <row r="11">
      <c r="A11" s="63" t="s">
        <v>107</v>
      </c>
      <c r="B11" s="63" t="s">
        <v>105</v>
      </c>
      <c r="C11" s="64">
        <v>250.0</v>
      </c>
      <c r="D11" s="64">
        <v>237.0</v>
      </c>
      <c r="F11" s="63" t="s">
        <v>113</v>
      </c>
      <c r="G11" s="64" t="s">
        <v>114</v>
      </c>
    </row>
    <row r="12">
      <c r="A12" s="63" t="s">
        <v>107</v>
      </c>
      <c r="B12" s="63" t="s">
        <v>96</v>
      </c>
      <c r="C12" s="64">
        <v>250.0</v>
      </c>
      <c r="D12" s="64">
        <v>235.0</v>
      </c>
      <c r="F12" s="63" t="s">
        <v>115</v>
      </c>
      <c r="G12" s="64" t="s">
        <v>116</v>
      </c>
    </row>
    <row r="13">
      <c r="A13" s="63" t="s">
        <v>117</v>
      </c>
      <c r="B13" s="63" t="s">
        <v>101</v>
      </c>
      <c r="C13" s="64">
        <v>250.0</v>
      </c>
      <c r="D13" s="64">
        <v>245.0</v>
      </c>
    </row>
    <row r="14">
      <c r="A14" s="63" t="s">
        <v>117</v>
      </c>
      <c r="B14" s="63" t="s">
        <v>103</v>
      </c>
      <c r="C14" s="64">
        <v>250.0</v>
      </c>
      <c r="D14" s="64">
        <v>227.0</v>
      </c>
      <c r="F14" s="60" t="s">
        <v>118</v>
      </c>
      <c r="G14" s="62" t="s">
        <v>109</v>
      </c>
      <c r="H14" s="62" t="s">
        <v>110</v>
      </c>
    </row>
    <row r="15">
      <c r="A15" s="63" t="s">
        <v>119</v>
      </c>
      <c r="B15" s="63" t="s">
        <v>96</v>
      </c>
      <c r="C15" s="64">
        <v>250.0</v>
      </c>
      <c r="D15" s="64">
        <v>237.0</v>
      </c>
      <c r="F15" s="63" t="s">
        <v>95</v>
      </c>
      <c r="G15" s="69">
        <f t="shared" ref="G15:G19" si="1">SUMIF(A:A,F15,D:D)</f>
        <v>1152</v>
      </c>
      <c r="H15" s="70" t="str">
        <f t="shared" ref="H15:H19" si="2">IF(G15&lt;=750,"A",IF(G15&lt;=1000,"B","C"))</f>
        <v>C</v>
      </c>
    </row>
    <row r="16">
      <c r="A16" s="63" t="s">
        <v>119</v>
      </c>
      <c r="B16" s="63" t="s">
        <v>99</v>
      </c>
      <c r="C16" s="64">
        <v>250.0</v>
      </c>
      <c r="D16" s="64">
        <v>233.0</v>
      </c>
      <c r="F16" s="63" t="s">
        <v>120</v>
      </c>
      <c r="G16" s="69">
        <f t="shared" si="1"/>
        <v>696</v>
      </c>
      <c r="H16" s="70" t="str">
        <f t="shared" si="2"/>
        <v>A</v>
      </c>
    </row>
    <row r="17">
      <c r="A17" s="63" t="s">
        <v>119</v>
      </c>
      <c r="B17" s="63" t="s">
        <v>101</v>
      </c>
      <c r="C17" s="64">
        <v>250.0</v>
      </c>
      <c r="D17" s="64">
        <v>235.0</v>
      </c>
      <c r="F17" s="63" t="s">
        <v>121</v>
      </c>
      <c r="G17" s="69">
        <f t="shared" si="1"/>
        <v>1136</v>
      </c>
      <c r="H17" s="70" t="str">
        <f t="shared" si="2"/>
        <v>C</v>
      </c>
    </row>
    <row r="18">
      <c r="A18" s="63" t="s">
        <v>119</v>
      </c>
      <c r="B18" s="63" t="s">
        <v>103</v>
      </c>
      <c r="C18" s="64">
        <v>250.0</v>
      </c>
      <c r="D18" s="64">
        <v>229.0</v>
      </c>
      <c r="F18" s="63" t="s">
        <v>107</v>
      </c>
      <c r="G18" s="69">
        <f t="shared" si="1"/>
        <v>1369</v>
      </c>
      <c r="H18" s="70" t="str">
        <f t="shared" si="2"/>
        <v>C</v>
      </c>
    </row>
    <row r="19">
      <c r="A19" s="63" t="s">
        <v>119</v>
      </c>
      <c r="B19" s="63" t="s">
        <v>105</v>
      </c>
      <c r="C19" s="64">
        <v>250.0</v>
      </c>
      <c r="D19" s="64">
        <v>237.0</v>
      </c>
      <c r="F19" s="63" t="s">
        <v>122</v>
      </c>
      <c r="G19" s="69">
        <f t="shared" si="1"/>
        <v>1172</v>
      </c>
      <c r="H19" s="70" t="str">
        <f t="shared" si="2"/>
        <v>C</v>
      </c>
    </row>
    <row r="20">
      <c r="A20" s="63" t="s">
        <v>122</v>
      </c>
      <c r="B20" s="63" t="s">
        <v>96</v>
      </c>
      <c r="C20" s="64">
        <v>250.0</v>
      </c>
      <c r="D20" s="64">
        <v>233.0</v>
      </c>
    </row>
    <row r="21">
      <c r="A21" s="63" t="s">
        <v>122</v>
      </c>
      <c r="B21" s="63" t="s">
        <v>99</v>
      </c>
      <c r="C21" s="64">
        <v>250.0</v>
      </c>
      <c r="D21" s="64">
        <v>235.0</v>
      </c>
    </row>
    <row r="22">
      <c r="A22" s="63" t="s">
        <v>122</v>
      </c>
      <c r="B22" s="63" t="s">
        <v>101</v>
      </c>
      <c r="C22" s="64">
        <v>250.0</v>
      </c>
      <c r="D22" s="64">
        <v>240.0</v>
      </c>
    </row>
    <row r="23">
      <c r="A23" s="63" t="s">
        <v>122</v>
      </c>
      <c r="B23" s="63" t="s">
        <v>103</v>
      </c>
      <c r="C23" s="64">
        <v>250.0</v>
      </c>
      <c r="D23" s="64">
        <v>225.0</v>
      </c>
    </row>
    <row r="24">
      <c r="A24" s="63" t="s">
        <v>122</v>
      </c>
      <c r="B24" s="63" t="s">
        <v>105</v>
      </c>
      <c r="C24" s="64">
        <v>250.0</v>
      </c>
      <c r="D24" s="64">
        <v>239.0</v>
      </c>
    </row>
    <row r="25">
      <c r="A25" s="63" t="s">
        <v>120</v>
      </c>
      <c r="B25" s="63" t="s">
        <v>96</v>
      </c>
      <c r="C25" s="64">
        <v>250.0</v>
      </c>
      <c r="D25" s="64">
        <v>227.0</v>
      </c>
    </row>
    <row r="26">
      <c r="A26" s="63" t="s">
        <v>120</v>
      </c>
      <c r="B26" s="63" t="s">
        <v>99</v>
      </c>
      <c r="C26" s="64">
        <v>250.0</v>
      </c>
      <c r="D26" s="64">
        <v>238.0</v>
      </c>
    </row>
    <row r="27">
      <c r="A27" s="63" t="s">
        <v>120</v>
      </c>
      <c r="B27" s="63" t="s">
        <v>101</v>
      </c>
      <c r="C27" s="64">
        <v>250.0</v>
      </c>
      <c r="D27" s="64">
        <v>231.0</v>
      </c>
    </row>
    <row r="28">
      <c r="A28" s="63" t="s">
        <v>121</v>
      </c>
      <c r="B28" s="63" t="s">
        <v>96</v>
      </c>
      <c r="C28" s="64">
        <v>250.0</v>
      </c>
      <c r="D28" s="64">
        <v>229.0</v>
      </c>
    </row>
    <row r="29">
      <c r="A29" s="63" t="s">
        <v>121</v>
      </c>
      <c r="B29" s="63" t="s">
        <v>99</v>
      </c>
      <c r="C29" s="64">
        <v>250.0</v>
      </c>
      <c r="D29" s="64">
        <v>237.0</v>
      </c>
    </row>
    <row r="30">
      <c r="A30" s="63" t="s">
        <v>121</v>
      </c>
      <c r="B30" s="63" t="s">
        <v>101</v>
      </c>
      <c r="C30" s="64">
        <v>250.0</v>
      </c>
      <c r="D30" s="64">
        <v>230.0</v>
      </c>
    </row>
    <row r="31">
      <c r="A31" s="63" t="s">
        <v>121</v>
      </c>
      <c r="B31" s="63" t="s">
        <v>103</v>
      </c>
      <c r="C31" s="64">
        <v>250.0</v>
      </c>
      <c r="D31" s="64">
        <v>205.0</v>
      </c>
    </row>
    <row r="32">
      <c r="A32" s="63" t="s">
        <v>121</v>
      </c>
      <c r="B32" s="63" t="s">
        <v>105</v>
      </c>
      <c r="C32" s="64">
        <v>250.0</v>
      </c>
      <c r="D32" s="64">
        <v>235.0</v>
      </c>
    </row>
    <row r="33">
      <c r="A33" s="63" t="s">
        <v>123</v>
      </c>
      <c r="B33" s="63" t="s">
        <v>105</v>
      </c>
      <c r="C33" s="64">
        <v>250.0</v>
      </c>
      <c r="D33" s="64">
        <v>238.0</v>
      </c>
    </row>
    <row r="34">
      <c r="A34" s="63" t="s">
        <v>124</v>
      </c>
      <c r="B34" s="63" t="s">
        <v>99</v>
      </c>
      <c r="C34" s="64">
        <v>250.0</v>
      </c>
      <c r="D34" s="64">
        <v>234.0</v>
      </c>
    </row>
    <row r="35">
      <c r="A35" s="63" t="s">
        <v>125</v>
      </c>
      <c r="B35" s="63" t="s">
        <v>103</v>
      </c>
      <c r="C35" s="64">
        <v>250.0</v>
      </c>
      <c r="D35" s="64">
        <v>215.0</v>
      </c>
    </row>
    <row r="36">
      <c r="A36" s="63" t="s">
        <v>126</v>
      </c>
      <c r="B36" s="63" t="s">
        <v>105</v>
      </c>
      <c r="C36" s="64">
        <v>250.0</v>
      </c>
      <c r="D36" s="64">
        <v>233.0</v>
      </c>
    </row>
  </sheetData>
  <mergeCells count="5">
    <mergeCell ref="F2:G2"/>
    <mergeCell ref="F3:G3"/>
    <mergeCell ref="F4:G4"/>
    <mergeCell ref="F5:G5"/>
    <mergeCell ref="F6:G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2" max="2" width="5.38"/>
    <col customWidth="1" min="3" max="3" width="14.0"/>
    <col customWidth="1" min="4" max="4" width="45.5"/>
  </cols>
  <sheetData>
    <row r="1" ht="18.75" customHeight="1">
      <c r="A1" s="71" t="s">
        <v>118</v>
      </c>
      <c r="B1" s="72" t="s">
        <v>127</v>
      </c>
      <c r="D1" s="73" t="s">
        <v>128</v>
      </c>
      <c r="E1" s="74"/>
      <c r="F1" s="74"/>
    </row>
    <row r="2" ht="18.75" customHeight="1">
      <c r="A2" s="24" t="s">
        <v>24</v>
      </c>
      <c r="B2" s="75">
        <v>4.0</v>
      </c>
    </row>
    <row r="3" ht="18.75" customHeight="1">
      <c r="A3" s="24" t="s">
        <v>129</v>
      </c>
      <c r="B3" s="75">
        <v>2.0</v>
      </c>
    </row>
    <row r="4" ht="18.75" customHeight="1">
      <c r="A4" s="24" t="s">
        <v>29</v>
      </c>
      <c r="B4" s="75">
        <v>4.0</v>
      </c>
    </row>
    <row r="5" ht="18.75" customHeight="1">
      <c r="A5" s="24" t="s">
        <v>39</v>
      </c>
      <c r="B5" s="75">
        <v>4.0</v>
      </c>
    </row>
    <row r="6" ht="18.75" customHeight="1">
      <c r="A6" s="24" t="s">
        <v>130</v>
      </c>
      <c r="B6" s="75">
        <v>6.0</v>
      </c>
    </row>
    <row r="7" ht="18.75" customHeight="1">
      <c r="A7" s="24" t="s">
        <v>131</v>
      </c>
      <c r="B7" s="75">
        <v>5.0</v>
      </c>
    </row>
    <row r="8" ht="18.75" customHeight="1">
      <c r="A8" s="24" t="s">
        <v>31</v>
      </c>
      <c r="B8" s="75">
        <v>8.0</v>
      </c>
    </row>
    <row r="9" ht="18.75" customHeight="1">
      <c r="A9" s="24" t="s">
        <v>27</v>
      </c>
      <c r="B9" s="75">
        <v>4.0</v>
      </c>
    </row>
    <row r="10" ht="18.75" customHeight="1">
      <c r="A10" s="24" t="s">
        <v>43</v>
      </c>
      <c r="B10" s="75">
        <v>8.0</v>
      </c>
    </row>
    <row r="11" ht="18.75" customHeight="1">
      <c r="A11" s="24" t="s">
        <v>132</v>
      </c>
      <c r="B11" s="75">
        <v>9.0</v>
      </c>
    </row>
    <row r="12" ht="18.75" customHeight="1">
      <c r="A12" s="24" t="s">
        <v>48</v>
      </c>
      <c r="B12" s="75">
        <v>4.0</v>
      </c>
    </row>
    <row r="13" ht="18.75" customHeight="1">
      <c r="A13" s="24" t="s">
        <v>19</v>
      </c>
      <c r="B13" s="75">
        <v>8.0</v>
      </c>
    </row>
    <row r="14" ht="18.75" customHeight="1">
      <c r="A14" s="24" t="s">
        <v>65</v>
      </c>
      <c r="B14" s="75">
        <v>5.0</v>
      </c>
    </row>
    <row r="15" ht="18.75" customHeight="1">
      <c r="A15" s="24" t="s">
        <v>133</v>
      </c>
      <c r="B15" s="75">
        <v>2.0</v>
      </c>
    </row>
    <row r="16" ht="18.75" customHeight="1">
      <c r="A16" s="24" t="s">
        <v>52</v>
      </c>
      <c r="B16" s="75">
        <v>3.0</v>
      </c>
    </row>
    <row r="17" ht="18.75" customHeight="1">
      <c r="A17" s="24" t="s">
        <v>33</v>
      </c>
      <c r="B17" s="75">
        <v>1.0</v>
      </c>
    </row>
    <row r="18" ht="18.75" customHeight="1">
      <c r="A18" s="24" t="s">
        <v>47</v>
      </c>
      <c r="B18" s="75">
        <v>6.0</v>
      </c>
    </row>
    <row r="19" ht="18.75" customHeight="1">
      <c r="A19" s="24" t="s">
        <v>62</v>
      </c>
      <c r="B19" s="75">
        <v>2.0</v>
      </c>
    </row>
    <row r="20" ht="18.75" customHeight="1">
      <c r="A20" s="24" t="s">
        <v>57</v>
      </c>
      <c r="B20" s="75">
        <v>7.0</v>
      </c>
    </row>
    <row r="21" ht="18.75" customHeight="1">
      <c r="A21" s="24" t="s">
        <v>134</v>
      </c>
      <c r="B21" s="75">
        <v>3.0</v>
      </c>
    </row>
    <row r="22" ht="18.75" customHeight="1">
      <c r="A22" s="24" t="s">
        <v>54</v>
      </c>
      <c r="B22" s="75">
        <v>5.0</v>
      </c>
    </row>
    <row r="23" ht="18.75" customHeight="1">
      <c r="A23" s="24" t="s">
        <v>66</v>
      </c>
      <c r="B23" s="75">
        <v>3.0</v>
      </c>
    </row>
    <row r="24" ht="18.75" customHeight="1">
      <c r="A24" s="24" t="s">
        <v>38</v>
      </c>
      <c r="B24" s="75">
        <v>1.0</v>
      </c>
    </row>
    <row r="25" ht="18.75" customHeight="1">
      <c r="A25" s="24" t="s">
        <v>20</v>
      </c>
      <c r="B25" s="75">
        <v>8.0</v>
      </c>
    </row>
    <row r="26" ht="18.75" customHeight="1">
      <c r="A26" s="24" t="s">
        <v>135</v>
      </c>
      <c r="B26" s="75">
        <v>2.0</v>
      </c>
    </row>
    <row r="27" ht="18.75" customHeight="1">
      <c r="A27" s="24" t="s">
        <v>18</v>
      </c>
      <c r="B27" s="75">
        <v>6.0</v>
      </c>
    </row>
    <row r="28" ht="18.75" customHeight="1">
      <c r="A28" s="24" t="s">
        <v>30</v>
      </c>
      <c r="B28" s="75">
        <v>4.0</v>
      </c>
    </row>
    <row r="29" ht="18.75" customHeight="1">
      <c r="A29" s="24" t="s">
        <v>136</v>
      </c>
      <c r="B29" s="75">
        <v>4.0</v>
      </c>
    </row>
    <row r="30" ht="18.75" customHeight="1">
      <c r="A30" s="24" t="s">
        <v>26</v>
      </c>
      <c r="B30" s="75">
        <v>2.0</v>
      </c>
    </row>
    <row r="31" ht="18.75" customHeight="1">
      <c r="A31" s="24" t="s">
        <v>55</v>
      </c>
      <c r="B31" s="75">
        <v>6.0</v>
      </c>
    </row>
    <row r="32" ht="18.75" customHeight="1">
      <c r="A32" s="24" t="s">
        <v>137</v>
      </c>
      <c r="B32" s="75">
        <v>3.0</v>
      </c>
    </row>
    <row r="33" ht="18.75" customHeight="1">
      <c r="A33" s="24" t="s">
        <v>50</v>
      </c>
      <c r="B33" s="75">
        <v>4.0</v>
      </c>
    </row>
    <row r="34" ht="18.75" customHeight="1">
      <c r="A34" s="24" t="s">
        <v>138</v>
      </c>
      <c r="B34" s="75">
        <v>4.0</v>
      </c>
    </row>
    <row r="35" ht="18.75" customHeight="1">
      <c r="A35" s="24" t="s">
        <v>139</v>
      </c>
      <c r="B35" s="75">
        <v>6.0</v>
      </c>
    </row>
    <row r="36" ht="18.75" customHeight="1">
      <c r="A36" s="24" t="s">
        <v>140</v>
      </c>
      <c r="B36" s="75">
        <v>8.0</v>
      </c>
    </row>
    <row r="37" ht="18.75" customHeight="1">
      <c r="A37" s="24" t="s">
        <v>68</v>
      </c>
      <c r="B37" s="75">
        <v>6.0</v>
      </c>
    </row>
    <row r="38" ht="18.75" customHeight="1">
      <c r="A38" s="24" t="s">
        <v>60</v>
      </c>
      <c r="B38" s="75">
        <v>6.0</v>
      </c>
    </row>
    <row r="39" ht="18.75" customHeight="1">
      <c r="A39" s="24" t="s">
        <v>141</v>
      </c>
      <c r="B39" s="75">
        <v>4.0</v>
      </c>
    </row>
    <row r="40" ht="18.75" customHeight="1">
      <c r="A40" s="24" t="s">
        <v>17</v>
      </c>
      <c r="B40" s="75">
        <v>6.0</v>
      </c>
    </row>
    <row r="41" ht="18.75" customHeight="1">
      <c r="A41" s="24" t="s">
        <v>45</v>
      </c>
      <c r="B41" s="75">
        <v>8.0</v>
      </c>
    </row>
    <row r="42" ht="18.75" customHeight="1">
      <c r="A42" s="24" t="s">
        <v>61</v>
      </c>
      <c r="B42" s="75">
        <v>3.0</v>
      </c>
    </row>
    <row r="43" ht="18.75" customHeight="1">
      <c r="A43" s="24" t="s">
        <v>67</v>
      </c>
      <c r="B43" s="75">
        <v>7.0</v>
      </c>
    </row>
    <row r="44" ht="18.75" customHeight="1">
      <c r="A44" s="24" t="s">
        <v>71</v>
      </c>
      <c r="B44" s="75">
        <v>6.0</v>
      </c>
    </row>
    <row r="45" ht="18.75" customHeight="1">
      <c r="A45" s="24" t="s">
        <v>142</v>
      </c>
      <c r="B45" s="75">
        <v>6.0</v>
      </c>
    </row>
    <row r="46" ht="18.75" customHeight="1">
      <c r="A46" s="24" t="s">
        <v>143</v>
      </c>
      <c r="B46" s="75">
        <v>5.0</v>
      </c>
    </row>
    <row r="47" ht="18.75" customHeight="1">
      <c r="A47" s="24" t="s">
        <v>144</v>
      </c>
      <c r="B47" s="75">
        <v>6.0</v>
      </c>
    </row>
    <row r="48" ht="18.75" customHeight="1">
      <c r="A48" s="24" t="s">
        <v>145</v>
      </c>
      <c r="B48" s="75">
        <v>9.0</v>
      </c>
    </row>
    <row r="49" ht="18.75" customHeight="1">
      <c r="A49" s="24" t="s">
        <v>59</v>
      </c>
      <c r="B49" s="75">
        <v>7.0</v>
      </c>
    </row>
    <row r="50" ht="18.75" customHeight="1">
      <c r="A50" s="24" t="s">
        <v>32</v>
      </c>
      <c r="B50" s="75">
        <v>6.0</v>
      </c>
    </row>
    <row r="51" ht="18.75" customHeight="1">
      <c r="A51" s="24" t="s">
        <v>44</v>
      </c>
      <c r="B51" s="75">
        <v>4.0</v>
      </c>
    </row>
    <row r="52" ht="18.75" customHeight="1">
      <c r="A52" s="24" t="s">
        <v>56</v>
      </c>
      <c r="B52" s="75">
        <v>6.0</v>
      </c>
    </row>
    <row r="53" ht="18.75" customHeight="1">
      <c r="A53" s="24" t="s">
        <v>42</v>
      </c>
      <c r="B53" s="75">
        <v>4.0</v>
      </c>
    </row>
    <row r="54" ht="18.75" customHeight="1">
      <c r="A54" s="24" t="s">
        <v>146</v>
      </c>
      <c r="B54" s="75">
        <v>2.0</v>
      </c>
    </row>
    <row r="55" ht="18.75" customHeight="1">
      <c r="A55" s="24" t="s">
        <v>46</v>
      </c>
      <c r="B55" s="75">
        <v>3.0</v>
      </c>
    </row>
    <row r="56" ht="18.75" customHeight="1">
      <c r="A56" s="24" t="s">
        <v>51</v>
      </c>
      <c r="B56" s="75">
        <v>2.0</v>
      </c>
    </row>
    <row r="57" ht="18.75" customHeight="1">
      <c r="A57" s="24" t="s">
        <v>25</v>
      </c>
      <c r="B57" s="75">
        <v>2.0</v>
      </c>
    </row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autoFilter ref="$A$1:$A$1000"/>
  <mergeCells count="1">
    <mergeCell ref="D1:D2"/>
  </mergeCells>
  <conditionalFormatting sqref="H7">
    <cfRule type="notContainsBlanks" dxfId="0" priority="1">
      <formula>LEN(TRIM(H7))&gt;0</formula>
    </cfRule>
  </conditionalFormatting>
  <conditionalFormatting sqref="A2:A57">
    <cfRule type="expression" dxfId="1" priority="2">
      <formula>EXACT(A2,UPPER(A2))</formula>
    </cfRule>
  </conditionalFormatting>
  <drawing r:id="rId1"/>
</worksheet>
</file>